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hranil Kundu\Downloads\bigbasket_category_diagnostic_FINAL\"/>
    </mc:Choice>
  </mc:AlternateContent>
  <xr:revisionPtr revIDLastSave="0" documentId="13_ncr:1_{442FC589-9F0C-4005-ACAA-46E1B56E0C2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onthly Data" sheetId="1" r:id="rId1"/>
    <sheet name="Category Targets" sheetId="2" r:id="rId2"/>
    <sheet name="Pivot Table" sheetId="3" r:id="rId3"/>
    <sheet name="Category Summary" sheetId="4" r:id="rId4"/>
  </sheet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2" i="4"/>
  <c r="B3" i="4"/>
  <c r="B4" i="4"/>
  <c r="B5" i="4"/>
  <c r="B6" i="4"/>
  <c r="B7" i="4"/>
  <c r="B2" i="4"/>
  <c r="H3" i="4" l="1"/>
  <c r="F3" i="4"/>
  <c r="E3" i="4"/>
  <c r="H7" i="4"/>
  <c r="F7" i="4"/>
  <c r="E7" i="4"/>
  <c r="D3" i="4"/>
  <c r="H5" i="4"/>
  <c r="F5" i="4"/>
  <c r="E5" i="4"/>
  <c r="D4" i="4"/>
  <c r="H4" i="4"/>
  <c r="F4" i="4"/>
  <c r="E4" i="4"/>
  <c r="D2" i="4"/>
  <c r="D5" i="4"/>
  <c r="E2" i="4"/>
  <c r="H2" i="4"/>
  <c r="F2" i="4"/>
  <c r="E6" i="4"/>
  <c r="H6" i="4"/>
  <c r="F6" i="4"/>
  <c r="D6" i="4"/>
  <c r="D7" i="4"/>
</calcChain>
</file>

<file path=xl/sharedStrings.xml><?xml version="1.0" encoding="utf-8"?>
<sst xmlns="http://schemas.openxmlformats.org/spreadsheetml/2006/main" count="109" uniqueCount="30">
  <si>
    <t>category</t>
  </si>
  <si>
    <t>month</t>
  </si>
  <si>
    <t>order_count</t>
  </si>
  <si>
    <t>total_revenue</t>
  </si>
  <si>
    <t>avg_revenue</t>
  </si>
  <si>
    <t>Bakery</t>
  </si>
  <si>
    <t>2026-01</t>
  </si>
  <si>
    <t>2026-02</t>
  </si>
  <si>
    <t>2026-03</t>
  </si>
  <si>
    <t>2026-04</t>
  </si>
  <si>
    <t>2026-05</t>
  </si>
  <si>
    <t>2026-06</t>
  </si>
  <si>
    <t>Dairy &amp; Eggs</t>
  </si>
  <si>
    <t>Fruits &amp; Vegetables</t>
  </si>
  <si>
    <t>Household Essentials</t>
  </si>
  <si>
    <t>Personal Care</t>
  </si>
  <si>
    <t>Snacks &amp; Beverages</t>
  </si>
  <si>
    <t>target_revenue_inr</t>
  </si>
  <si>
    <t>Grand Total</t>
  </si>
  <si>
    <t>Category</t>
  </si>
  <si>
    <t>Pivot Total Revenue</t>
  </si>
  <si>
    <t>Target Revenue INR</t>
  </si>
  <si>
    <t>Variance (Target - Revenue)</t>
  </si>
  <si>
    <t>Percentage Variance (%)</t>
  </si>
  <si>
    <t>Target Status</t>
  </si>
  <si>
    <t>Part 1 SQL Total</t>
  </si>
  <si>
    <t>Matches Part 1 SQL total?</t>
  </si>
  <si>
    <t>Row Labels</t>
  </si>
  <si>
    <t>Sum of total_revenue</t>
  </si>
  <si>
    <t>Sum of order_count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</si>
</sst>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1" fillId="3" borderId="0" xfId="0" applyFont="1" applyFill="1"/>
    <xf numFmtId="3" fontId="0" fillId="0" borderId="0" xfId="0" applyNumberFormat="1"/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ranil Kundu" refreshedDate="46280.570871643518" createdVersion="8" refreshedVersion="8" minRefreshableVersion="3" recordCount="36" xr:uid="{71C6523D-8935-46C4-AB78-CEA91DB8ED8C}">
  <cacheSource type="worksheet">
    <worksheetSource name="MonthlyDataTable"/>
  </cacheSource>
  <cacheFields count="5">
    <cacheField name="category" numFmtId="0">
      <sharedItems count="6"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0">
      <sharedItems/>
    </cacheField>
    <cacheField name="order_count" numFmtId="2">
      <sharedItems containsSemiMixedTypes="0" containsString="0" containsNumber="1" containsInteger="1" minValue="6" maxValue="19"/>
    </cacheField>
    <cacheField name="total_revenue" numFmtId="2">
      <sharedItems containsSemiMixedTypes="0" containsString="0" containsNumber="1" containsInteger="1" minValue="735" maxValue="5491"/>
    </cacheField>
    <cacheField name="avg_revenue" numFmtId="2">
      <sharedItems containsSemiMixedTypes="0" containsString="0" containsNumber="1" minValue="100" maxValue="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s v="2026-01"/>
    <n v="6"/>
    <n v="735"/>
    <n v="122.5"/>
  </r>
  <r>
    <x v="0"/>
    <s v="2026-02"/>
    <n v="8"/>
    <n v="2440"/>
    <n v="305"/>
  </r>
  <r>
    <x v="0"/>
    <s v="2026-03"/>
    <n v="11"/>
    <n v="3090"/>
    <n v="280.90909090909003"/>
  </r>
  <r>
    <x v="0"/>
    <s v="2026-04"/>
    <n v="13"/>
    <n v="3115"/>
    <n v="239.61538461538399"/>
  </r>
  <r>
    <x v="0"/>
    <s v="2026-05"/>
    <n v="15"/>
    <n v="3695"/>
    <n v="246.333333333333"/>
  </r>
  <r>
    <x v="0"/>
    <s v="2026-06"/>
    <n v="14"/>
    <n v="2335"/>
    <n v="166.78571428571399"/>
  </r>
  <r>
    <x v="1"/>
    <s v="2026-01"/>
    <n v="9"/>
    <n v="2035"/>
    <n v="226.111111111111"/>
  </r>
  <r>
    <x v="1"/>
    <s v="2026-02"/>
    <n v="8"/>
    <n v="1935"/>
    <n v="241.875"/>
  </r>
  <r>
    <x v="1"/>
    <s v="2026-03"/>
    <n v="15"/>
    <n v="3163"/>
    <n v="210.86666666666599"/>
  </r>
  <r>
    <x v="1"/>
    <s v="2026-04"/>
    <n v="9"/>
    <n v="1650"/>
    <n v="183.333333333333"/>
  </r>
  <r>
    <x v="1"/>
    <s v="2026-05"/>
    <n v="14"/>
    <n v="3479"/>
    <n v="248.5"/>
  </r>
  <r>
    <x v="1"/>
    <s v="2026-06"/>
    <n v="11"/>
    <n v="1828"/>
    <n v="166.18181818181799"/>
  </r>
  <r>
    <x v="2"/>
    <s v="2026-01"/>
    <n v="12"/>
    <n v="1290"/>
    <n v="107.5"/>
  </r>
  <r>
    <x v="2"/>
    <s v="2026-02"/>
    <n v="13"/>
    <n v="2090"/>
    <n v="160.76923076923001"/>
  </r>
  <r>
    <x v="2"/>
    <s v="2026-03"/>
    <n v="13"/>
    <n v="2080"/>
    <n v="160"/>
  </r>
  <r>
    <x v="2"/>
    <s v="2026-04"/>
    <n v="14"/>
    <n v="1400"/>
    <n v="100"/>
  </r>
  <r>
    <x v="2"/>
    <s v="2026-05"/>
    <n v="12"/>
    <n v="1870"/>
    <n v="155.833333333333"/>
  </r>
  <r>
    <x v="2"/>
    <s v="2026-06"/>
    <n v="9"/>
    <n v="1060"/>
    <n v="117.777777777777"/>
  </r>
  <r>
    <x v="3"/>
    <s v="2026-01"/>
    <n v="10"/>
    <n v="2099"/>
    <n v="209.9"/>
  </r>
  <r>
    <x v="3"/>
    <s v="2026-02"/>
    <n v="16"/>
    <n v="5113"/>
    <n v="319.5625"/>
  </r>
  <r>
    <x v="3"/>
    <s v="2026-03"/>
    <n v="8"/>
    <n v="1885"/>
    <n v="235.625"/>
  </r>
  <r>
    <x v="3"/>
    <s v="2026-04"/>
    <n v="17"/>
    <n v="5491"/>
    <n v="323"/>
  </r>
  <r>
    <x v="3"/>
    <s v="2026-05"/>
    <n v="16"/>
    <n v="3477"/>
    <n v="217.3125"/>
  </r>
  <r>
    <x v="3"/>
    <s v="2026-06"/>
    <n v="12"/>
    <n v="3650"/>
    <n v="304.166666666666"/>
  </r>
  <r>
    <x v="4"/>
    <s v="2026-01"/>
    <n v="12"/>
    <n v="3608"/>
    <n v="300.666666666666"/>
  </r>
  <r>
    <x v="4"/>
    <s v="2026-02"/>
    <n v="8"/>
    <n v="2177"/>
    <n v="272.125"/>
  </r>
  <r>
    <x v="4"/>
    <s v="2026-03"/>
    <n v="11"/>
    <n v="2807"/>
    <n v="255.18181818181799"/>
  </r>
  <r>
    <x v="4"/>
    <s v="2026-04"/>
    <n v="9"/>
    <n v="1970"/>
    <n v="218.888888888888"/>
  </r>
  <r>
    <x v="4"/>
    <s v="2026-05"/>
    <n v="13"/>
    <n v="3045"/>
    <n v="234.230769230769"/>
  </r>
  <r>
    <x v="4"/>
    <s v="2026-06"/>
    <n v="13"/>
    <n v="2775"/>
    <n v="213.461538461538"/>
  </r>
  <r>
    <x v="5"/>
    <s v="2026-01"/>
    <n v="10"/>
    <n v="1290"/>
    <n v="129"/>
  </r>
  <r>
    <x v="5"/>
    <s v="2026-02"/>
    <n v="11"/>
    <n v="1330"/>
    <n v="120.90909090909"/>
  </r>
  <r>
    <x v="5"/>
    <s v="2026-03"/>
    <n v="15"/>
    <n v="1670"/>
    <n v="111.333333333333"/>
  </r>
  <r>
    <x v="5"/>
    <s v="2026-04"/>
    <n v="19"/>
    <n v="2980"/>
    <n v="156.84210526315701"/>
  </r>
  <r>
    <x v="5"/>
    <s v="2026-05"/>
    <n v="13"/>
    <n v="1665"/>
    <n v="128.07692307692301"/>
  </r>
  <r>
    <x v="5"/>
    <s v="2026-06"/>
    <n v="15"/>
    <n v="1960"/>
    <n v="130.666666666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CECF3-D761-4CF3-964A-25CFF1E684B6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8" firstHeaderRow="0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count" fld="2" baseField="0" baseItem="0"/>
    <dataField name="Sum of total_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DataTable" displayName="MonthlyDataTable" ref="A1:E37" totalsRowShown="0">
  <tableColumns count="5">
    <tableColumn id="1" xr3:uid="{00000000-0010-0000-0000-000001000000}" name="category"/>
    <tableColumn id="2" xr3:uid="{00000000-0010-0000-0000-000002000000}" name="month"/>
    <tableColumn id="3" xr3:uid="{00000000-0010-0000-0000-000003000000}" name="order_count" dataDxfId="6"/>
    <tableColumn id="4" xr3:uid="{00000000-0010-0000-0000-000004000000}" name="total_revenue" dataDxfId="5"/>
    <tableColumn id="5" xr3:uid="{00000000-0010-0000-0000-000005000000}" name="avg_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TargetsTable" displayName="CategoryTargetsTable" ref="A1:B7" totalsRowShown="0">
  <tableColumns count="2">
    <tableColumn id="1" xr3:uid="{00000000-0010-0000-0100-000001000000}" name="category"/>
    <tableColumn id="2" xr3:uid="{00000000-0010-0000-0100-000002000000}" name="target_revenue_in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E38" sqref="E38"/>
    </sheetView>
  </sheetViews>
  <sheetFormatPr defaultRowHeight="14.25"/>
  <cols>
    <col min="1" max="1" width="24" customWidth="1"/>
    <col min="2" max="2" width="12" customWidth="1"/>
    <col min="3" max="5" width="16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>
        <v>6</v>
      </c>
      <c r="D2" s="2">
        <v>735</v>
      </c>
      <c r="E2" s="2">
        <v>122.5</v>
      </c>
    </row>
    <row r="3" spans="1:5">
      <c r="A3" t="s">
        <v>5</v>
      </c>
      <c r="B3" t="s">
        <v>7</v>
      </c>
      <c r="C3" s="2">
        <v>8</v>
      </c>
      <c r="D3" s="2">
        <v>2440</v>
      </c>
      <c r="E3" s="2">
        <v>305</v>
      </c>
    </row>
    <row r="4" spans="1:5">
      <c r="A4" t="s">
        <v>5</v>
      </c>
      <c r="B4" t="s">
        <v>8</v>
      </c>
      <c r="C4" s="2">
        <v>11</v>
      </c>
      <c r="D4" s="2">
        <v>3090</v>
      </c>
      <c r="E4" s="2">
        <v>280.90909090909003</v>
      </c>
    </row>
    <row r="5" spans="1:5">
      <c r="A5" t="s">
        <v>5</v>
      </c>
      <c r="B5" t="s">
        <v>9</v>
      </c>
      <c r="C5" s="2">
        <v>13</v>
      </c>
      <c r="D5" s="2">
        <v>3115</v>
      </c>
      <c r="E5" s="2">
        <v>239.61538461538399</v>
      </c>
    </row>
    <row r="6" spans="1:5">
      <c r="A6" t="s">
        <v>5</v>
      </c>
      <c r="B6" t="s">
        <v>10</v>
      </c>
      <c r="C6" s="2">
        <v>15</v>
      </c>
      <c r="D6" s="2">
        <v>3695</v>
      </c>
      <c r="E6" s="2">
        <v>246.333333333333</v>
      </c>
    </row>
    <row r="7" spans="1:5">
      <c r="A7" t="s">
        <v>5</v>
      </c>
      <c r="B7" t="s">
        <v>11</v>
      </c>
      <c r="C7" s="2">
        <v>14</v>
      </c>
      <c r="D7" s="2">
        <v>2335</v>
      </c>
      <c r="E7" s="2">
        <v>166.78571428571399</v>
      </c>
    </row>
    <row r="8" spans="1:5">
      <c r="A8" t="s">
        <v>12</v>
      </c>
      <c r="B8" t="s">
        <v>6</v>
      </c>
      <c r="C8" s="2">
        <v>9</v>
      </c>
      <c r="D8" s="2">
        <v>2035</v>
      </c>
      <c r="E8" s="2">
        <v>226.111111111111</v>
      </c>
    </row>
    <row r="9" spans="1:5">
      <c r="A9" t="s">
        <v>12</v>
      </c>
      <c r="B9" t="s">
        <v>7</v>
      </c>
      <c r="C9" s="2">
        <v>8</v>
      </c>
      <c r="D9" s="2">
        <v>1935</v>
      </c>
      <c r="E9" s="2">
        <v>241.875</v>
      </c>
    </row>
    <row r="10" spans="1:5">
      <c r="A10" t="s">
        <v>12</v>
      </c>
      <c r="B10" t="s">
        <v>8</v>
      </c>
      <c r="C10" s="2">
        <v>15</v>
      </c>
      <c r="D10" s="2">
        <v>3163</v>
      </c>
      <c r="E10" s="2">
        <v>210.86666666666599</v>
      </c>
    </row>
    <row r="11" spans="1:5">
      <c r="A11" t="s">
        <v>12</v>
      </c>
      <c r="B11" t="s">
        <v>9</v>
      </c>
      <c r="C11" s="2">
        <v>9</v>
      </c>
      <c r="D11" s="2">
        <v>1650</v>
      </c>
      <c r="E11" s="2">
        <v>183.333333333333</v>
      </c>
    </row>
    <row r="12" spans="1:5">
      <c r="A12" t="s">
        <v>12</v>
      </c>
      <c r="B12" t="s">
        <v>10</v>
      </c>
      <c r="C12" s="2">
        <v>14</v>
      </c>
      <c r="D12" s="2">
        <v>3479</v>
      </c>
      <c r="E12" s="2">
        <v>248.5</v>
      </c>
    </row>
    <row r="13" spans="1:5">
      <c r="A13" t="s">
        <v>12</v>
      </c>
      <c r="B13" t="s">
        <v>11</v>
      </c>
      <c r="C13" s="2">
        <v>11</v>
      </c>
      <c r="D13" s="2">
        <v>1828</v>
      </c>
      <c r="E13" s="2">
        <v>166.18181818181799</v>
      </c>
    </row>
    <row r="14" spans="1:5">
      <c r="A14" t="s">
        <v>13</v>
      </c>
      <c r="B14" t="s">
        <v>6</v>
      </c>
      <c r="C14" s="2">
        <v>12</v>
      </c>
      <c r="D14" s="2">
        <v>1290</v>
      </c>
      <c r="E14" s="2">
        <v>107.5</v>
      </c>
    </row>
    <row r="15" spans="1:5">
      <c r="A15" t="s">
        <v>13</v>
      </c>
      <c r="B15" t="s">
        <v>7</v>
      </c>
      <c r="C15" s="2">
        <v>13</v>
      </c>
      <c r="D15" s="2">
        <v>2090</v>
      </c>
      <c r="E15" s="2">
        <v>160.76923076923001</v>
      </c>
    </row>
    <row r="16" spans="1:5">
      <c r="A16" t="s">
        <v>13</v>
      </c>
      <c r="B16" t="s">
        <v>8</v>
      </c>
      <c r="C16" s="2">
        <v>13</v>
      </c>
      <c r="D16" s="2">
        <v>2080</v>
      </c>
      <c r="E16" s="2">
        <v>160</v>
      </c>
    </row>
    <row r="17" spans="1:5">
      <c r="A17" t="s">
        <v>13</v>
      </c>
      <c r="B17" t="s">
        <v>9</v>
      </c>
      <c r="C17" s="2">
        <v>14</v>
      </c>
      <c r="D17" s="2">
        <v>1400</v>
      </c>
      <c r="E17" s="2">
        <v>100</v>
      </c>
    </row>
    <row r="18" spans="1:5">
      <c r="A18" t="s">
        <v>13</v>
      </c>
      <c r="B18" t="s">
        <v>10</v>
      </c>
      <c r="C18" s="2">
        <v>12</v>
      </c>
      <c r="D18" s="2">
        <v>1870</v>
      </c>
      <c r="E18" s="2">
        <v>155.833333333333</v>
      </c>
    </row>
    <row r="19" spans="1:5">
      <c r="A19" t="s">
        <v>13</v>
      </c>
      <c r="B19" t="s">
        <v>11</v>
      </c>
      <c r="C19" s="2">
        <v>9</v>
      </c>
      <c r="D19" s="2">
        <v>1060</v>
      </c>
      <c r="E19" s="2">
        <v>117.777777777777</v>
      </c>
    </row>
    <row r="20" spans="1:5">
      <c r="A20" t="s">
        <v>14</v>
      </c>
      <c r="B20" t="s">
        <v>6</v>
      </c>
      <c r="C20" s="2">
        <v>10</v>
      </c>
      <c r="D20" s="2">
        <v>2099</v>
      </c>
      <c r="E20" s="2">
        <v>209.9</v>
      </c>
    </row>
    <row r="21" spans="1:5">
      <c r="A21" t="s">
        <v>14</v>
      </c>
      <c r="B21" t="s">
        <v>7</v>
      </c>
      <c r="C21" s="2">
        <v>16</v>
      </c>
      <c r="D21" s="2">
        <v>5113</v>
      </c>
      <c r="E21" s="2">
        <v>319.5625</v>
      </c>
    </row>
    <row r="22" spans="1:5">
      <c r="A22" t="s">
        <v>14</v>
      </c>
      <c r="B22" t="s">
        <v>8</v>
      </c>
      <c r="C22" s="2">
        <v>8</v>
      </c>
      <c r="D22" s="2">
        <v>1885</v>
      </c>
      <c r="E22" s="2">
        <v>235.625</v>
      </c>
    </row>
    <row r="23" spans="1:5">
      <c r="A23" t="s">
        <v>14</v>
      </c>
      <c r="B23" t="s">
        <v>9</v>
      </c>
      <c r="C23" s="2">
        <v>17</v>
      </c>
      <c r="D23" s="2">
        <v>5491</v>
      </c>
      <c r="E23" s="2">
        <v>323</v>
      </c>
    </row>
    <row r="24" spans="1:5">
      <c r="A24" t="s">
        <v>14</v>
      </c>
      <c r="B24" t="s">
        <v>10</v>
      </c>
      <c r="C24" s="2">
        <v>16</v>
      </c>
      <c r="D24" s="2">
        <v>3477</v>
      </c>
      <c r="E24" s="2">
        <v>217.3125</v>
      </c>
    </row>
    <row r="25" spans="1:5">
      <c r="A25" t="s">
        <v>14</v>
      </c>
      <c r="B25" t="s">
        <v>11</v>
      </c>
      <c r="C25" s="2">
        <v>12</v>
      </c>
      <c r="D25" s="2">
        <v>3650</v>
      </c>
      <c r="E25" s="2">
        <v>304.166666666666</v>
      </c>
    </row>
    <row r="26" spans="1:5">
      <c r="A26" t="s">
        <v>15</v>
      </c>
      <c r="B26" t="s">
        <v>6</v>
      </c>
      <c r="C26" s="2">
        <v>12</v>
      </c>
      <c r="D26" s="2">
        <v>3608</v>
      </c>
      <c r="E26" s="2">
        <v>300.666666666666</v>
      </c>
    </row>
    <row r="27" spans="1:5">
      <c r="A27" t="s">
        <v>15</v>
      </c>
      <c r="B27" t="s">
        <v>7</v>
      </c>
      <c r="C27" s="2">
        <v>8</v>
      </c>
      <c r="D27" s="2">
        <v>2177</v>
      </c>
      <c r="E27" s="2">
        <v>272.125</v>
      </c>
    </row>
    <row r="28" spans="1:5">
      <c r="A28" t="s">
        <v>15</v>
      </c>
      <c r="B28" t="s">
        <v>8</v>
      </c>
      <c r="C28" s="2">
        <v>11</v>
      </c>
      <c r="D28" s="2">
        <v>2807</v>
      </c>
      <c r="E28" s="2">
        <v>255.18181818181799</v>
      </c>
    </row>
    <row r="29" spans="1:5">
      <c r="A29" t="s">
        <v>15</v>
      </c>
      <c r="B29" t="s">
        <v>9</v>
      </c>
      <c r="C29" s="2">
        <v>9</v>
      </c>
      <c r="D29" s="2">
        <v>1970</v>
      </c>
      <c r="E29" s="2">
        <v>218.888888888888</v>
      </c>
    </row>
    <row r="30" spans="1:5">
      <c r="A30" t="s">
        <v>15</v>
      </c>
      <c r="B30" t="s">
        <v>10</v>
      </c>
      <c r="C30" s="2">
        <v>13</v>
      </c>
      <c r="D30" s="2">
        <v>3045</v>
      </c>
      <c r="E30" s="2">
        <v>234.230769230769</v>
      </c>
    </row>
    <row r="31" spans="1:5">
      <c r="A31" t="s">
        <v>15</v>
      </c>
      <c r="B31" t="s">
        <v>11</v>
      </c>
      <c r="C31" s="2">
        <v>13</v>
      </c>
      <c r="D31" s="2">
        <v>2775</v>
      </c>
      <c r="E31" s="2">
        <v>213.461538461538</v>
      </c>
    </row>
    <row r="32" spans="1:5">
      <c r="A32" t="s">
        <v>16</v>
      </c>
      <c r="B32" t="s">
        <v>6</v>
      </c>
      <c r="C32" s="2">
        <v>10</v>
      </c>
      <c r="D32" s="2">
        <v>1290</v>
      </c>
      <c r="E32" s="2">
        <v>129</v>
      </c>
    </row>
    <row r="33" spans="1:5">
      <c r="A33" t="s">
        <v>16</v>
      </c>
      <c r="B33" t="s">
        <v>7</v>
      </c>
      <c r="C33" s="2">
        <v>11</v>
      </c>
      <c r="D33" s="2">
        <v>1330</v>
      </c>
      <c r="E33" s="2">
        <v>120.90909090909</v>
      </c>
    </row>
    <row r="34" spans="1:5">
      <c r="A34" t="s">
        <v>16</v>
      </c>
      <c r="B34" t="s">
        <v>8</v>
      </c>
      <c r="C34" s="2">
        <v>15</v>
      </c>
      <c r="D34" s="2">
        <v>1670</v>
      </c>
      <c r="E34" s="2">
        <v>111.333333333333</v>
      </c>
    </row>
    <row r="35" spans="1:5">
      <c r="A35" t="s">
        <v>16</v>
      </c>
      <c r="B35" t="s">
        <v>9</v>
      </c>
      <c r="C35" s="2">
        <v>19</v>
      </c>
      <c r="D35" s="2">
        <v>2980</v>
      </c>
      <c r="E35" s="2">
        <v>156.84210526315701</v>
      </c>
    </row>
    <row r="36" spans="1:5">
      <c r="A36" t="s">
        <v>16</v>
      </c>
      <c r="B36" t="s">
        <v>10</v>
      </c>
      <c r="C36" s="2">
        <v>13</v>
      </c>
      <c r="D36" s="2">
        <v>1665</v>
      </c>
      <c r="E36" s="2">
        <v>128.07692307692301</v>
      </c>
    </row>
    <row r="37" spans="1:5">
      <c r="A37" t="s">
        <v>16</v>
      </c>
      <c r="B37" t="s">
        <v>11</v>
      </c>
      <c r="C37" s="2">
        <v>15</v>
      </c>
      <c r="D37" s="2">
        <v>1960</v>
      </c>
      <c r="E37" s="2">
        <v>130.666666666666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/>
  <cols>
    <col min="1" max="1" width="24" customWidth="1"/>
    <col min="2" max="2" width="20" customWidth="1"/>
  </cols>
  <sheetData>
    <row r="1" spans="1:2" ht="15">
      <c r="A1" s="3" t="s">
        <v>0</v>
      </c>
      <c r="B1" s="3" t="s">
        <v>17</v>
      </c>
    </row>
    <row r="2" spans="1:2">
      <c r="A2" t="s">
        <v>13</v>
      </c>
      <c r="B2" s="4">
        <v>12000</v>
      </c>
    </row>
    <row r="3" spans="1:2">
      <c r="A3" t="s">
        <v>12</v>
      </c>
      <c r="B3" s="4">
        <v>16500</v>
      </c>
    </row>
    <row r="4" spans="1:2">
      <c r="A4" t="s">
        <v>16</v>
      </c>
      <c r="B4" s="4">
        <v>13000</v>
      </c>
    </row>
    <row r="5" spans="1:2">
      <c r="A5" t="s">
        <v>15</v>
      </c>
      <c r="B5" s="4">
        <v>15500</v>
      </c>
    </row>
    <row r="6" spans="1:2">
      <c r="A6" t="s">
        <v>14</v>
      </c>
      <c r="B6" s="4">
        <v>17000</v>
      </c>
    </row>
    <row r="7" spans="1:2">
      <c r="A7" t="s">
        <v>5</v>
      </c>
      <c r="B7" s="4">
        <v>12000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C22" sqref="C22"/>
    </sheetView>
  </sheetViews>
  <sheetFormatPr defaultRowHeight="14.25"/>
  <cols>
    <col min="1" max="1" width="18.75" bestFit="1" customWidth="1"/>
    <col min="2" max="2" width="18.625" bestFit="1" customWidth="1"/>
    <col min="3" max="3" width="20.125" bestFit="1" customWidth="1"/>
  </cols>
  <sheetData>
    <row r="1" spans="1:3">
      <c r="A1" s="9" t="s">
        <v>27</v>
      </c>
      <c r="B1" t="s">
        <v>29</v>
      </c>
      <c r="C1" t="s">
        <v>28</v>
      </c>
    </row>
    <row r="2" spans="1:3">
      <c r="A2" s="10" t="s">
        <v>5</v>
      </c>
      <c r="B2" s="11">
        <v>67</v>
      </c>
      <c r="C2" s="11">
        <v>15410</v>
      </c>
    </row>
    <row r="3" spans="1:3">
      <c r="A3" s="10" t="s">
        <v>12</v>
      </c>
      <c r="B3" s="11">
        <v>66</v>
      </c>
      <c r="C3" s="11">
        <v>14090</v>
      </c>
    </row>
    <row r="4" spans="1:3">
      <c r="A4" s="10" t="s">
        <v>13</v>
      </c>
      <c r="B4" s="11">
        <v>73</v>
      </c>
      <c r="C4" s="11">
        <v>9790</v>
      </c>
    </row>
    <row r="5" spans="1:3">
      <c r="A5" s="10" t="s">
        <v>14</v>
      </c>
      <c r="B5" s="11">
        <v>79</v>
      </c>
      <c r="C5" s="11">
        <v>21715</v>
      </c>
    </row>
    <row r="6" spans="1:3">
      <c r="A6" s="10" t="s">
        <v>15</v>
      </c>
      <c r="B6" s="11">
        <v>66</v>
      </c>
      <c r="C6" s="11">
        <v>16382</v>
      </c>
    </row>
    <row r="7" spans="1:3">
      <c r="A7" s="10" t="s">
        <v>16</v>
      </c>
      <c r="B7" s="11">
        <v>83</v>
      </c>
      <c r="C7" s="11">
        <v>10895</v>
      </c>
    </row>
    <row r="8" spans="1:3">
      <c r="A8" s="10" t="s">
        <v>18</v>
      </c>
      <c r="B8" s="11">
        <v>434</v>
      </c>
      <c r="C8" s="11">
        <v>88282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tabSelected="1" workbookViewId="0">
      <selection activeCell="B16" sqref="B16"/>
    </sheetView>
  </sheetViews>
  <sheetFormatPr defaultRowHeight="14.25"/>
  <cols>
    <col min="1" max="1" width="24" customWidth="1"/>
    <col min="2" max="4" width="20" customWidth="1"/>
    <col min="5" max="5" width="22" customWidth="1"/>
    <col min="6" max="6" width="24" customWidth="1"/>
    <col min="7" max="7" width="18" customWidth="1"/>
    <col min="8" max="8" width="24" customWidth="1"/>
  </cols>
  <sheetData>
    <row r="1" spans="1:8" ht="32.1" customHeight="1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</row>
    <row r="2" spans="1:8">
      <c r="A2" s="6" t="s">
        <v>13</v>
      </c>
      <c r="B2" s="7">
        <f>VLOOKUP($A2,'Pivot Table'!$A$2:$C$7,3,0)</f>
        <v>9790</v>
      </c>
      <c r="C2" s="7">
        <f>VLOOKUP($A2,CategoryTargetsTable[],2,0)</f>
        <v>12000</v>
      </c>
      <c r="D2" s="7">
        <f t="shared" ref="D2:D7" si="0">C2-B2</f>
        <v>2210</v>
      </c>
      <c r="E2" s="8">
        <f t="shared" ref="E2:E7" si="1">((B2-C2)/C2)*100</f>
        <v>-18.416666666666668</v>
      </c>
      <c r="F2" s="6" t="str">
        <f t="shared" ref="F2:F7" si="2">IF(B2&gt;=C2,"Above Target",IF((C2-B2)/C2&lt;=15%,"Below Target - Watch","Below Target - Critical"))</f>
        <v>Below Target - Critical</v>
      </c>
      <c r="G2" s="7">
        <v>9790</v>
      </c>
      <c r="H2" s="6" t="str">
        <f t="shared" ref="H2:H7" si="3">IF(B2=G2,"Yes","No")</f>
        <v>Yes</v>
      </c>
    </row>
    <row r="3" spans="1:8" ht="15">
      <c r="A3" s="6" t="s">
        <v>12</v>
      </c>
      <c r="B3" s="7">
        <f>VLOOKUP($A3,'Pivot Table'!$A$2:$C$7,3,0)</f>
        <v>14090</v>
      </c>
      <c r="C3" s="7">
        <f>VLOOKUP($A3,CategoryTargetsTable[],2,0)</f>
        <v>16500</v>
      </c>
      <c r="D3" s="7">
        <f t="shared" si="0"/>
        <v>2410</v>
      </c>
      <c r="E3" s="8">
        <f t="shared" si="1"/>
        <v>-14.606060606060606</v>
      </c>
      <c r="F3" s="6" t="str">
        <f t="shared" si="2"/>
        <v>Below Target - Watch</v>
      </c>
      <c r="G3" s="7">
        <v>14090</v>
      </c>
      <c r="H3" s="6" t="str">
        <f t="shared" si="3"/>
        <v>Yes</v>
      </c>
    </row>
    <row r="4" spans="1:8" ht="15">
      <c r="A4" s="6" t="s">
        <v>16</v>
      </c>
      <c r="B4" s="7">
        <f>VLOOKUP($A4,'Pivot Table'!$A$2:$C$7,3,0)</f>
        <v>10895</v>
      </c>
      <c r="C4" s="7">
        <f>VLOOKUP($A4,CategoryTargetsTable[],2,0)</f>
        <v>13000</v>
      </c>
      <c r="D4" s="7">
        <f t="shared" si="0"/>
        <v>2105</v>
      </c>
      <c r="E4" s="8">
        <f t="shared" si="1"/>
        <v>-16.192307692307693</v>
      </c>
      <c r="F4" s="6" t="str">
        <f t="shared" si="2"/>
        <v>Below Target - Critical</v>
      </c>
      <c r="G4" s="7">
        <v>10895</v>
      </c>
      <c r="H4" s="6" t="str">
        <f t="shared" si="3"/>
        <v>Yes</v>
      </c>
    </row>
    <row r="5" spans="1:8" ht="15">
      <c r="A5" s="6" t="s">
        <v>15</v>
      </c>
      <c r="B5" s="7">
        <f>VLOOKUP($A5,'Pivot Table'!$A$2:$C$7,3,0)</f>
        <v>16382</v>
      </c>
      <c r="C5" s="7">
        <f>VLOOKUP($A5,CategoryTargetsTable[],2,0)</f>
        <v>15500</v>
      </c>
      <c r="D5" s="7">
        <f t="shared" si="0"/>
        <v>-882</v>
      </c>
      <c r="E5" s="8">
        <f t="shared" si="1"/>
        <v>5.6903225806451614</v>
      </c>
      <c r="F5" s="6" t="str">
        <f t="shared" si="2"/>
        <v>Above Target</v>
      </c>
      <c r="G5" s="7">
        <v>16382</v>
      </c>
      <c r="H5" s="6" t="str">
        <f t="shared" si="3"/>
        <v>Yes</v>
      </c>
    </row>
    <row r="6" spans="1:8" ht="15">
      <c r="A6" s="6" t="s">
        <v>14</v>
      </c>
      <c r="B6" s="7">
        <f>VLOOKUP($A6,'Pivot Table'!$A$2:$C$7,3,0)</f>
        <v>21715</v>
      </c>
      <c r="C6" s="7">
        <f>VLOOKUP($A6,CategoryTargetsTable[],2,0)</f>
        <v>17000</v>
      </c>
      <c r="D6" s="7">
        <f t="shared" si="0"/>
        <v>-4715</v>
      </c>
      <c r="E6" s="8">
        <f t="shared" si="1"/>
        <v>27.735294117647058</v>
      </c>
      <c r="F6" s="6" t="str">
        <f t="shared" si="2"/>
        <v>Above Target</v>
      </c>
      <c r="G6" s="7">
        <v>21715</v>
      </c>
      <c r="H6" s="6" t="str">
        <f t="shared" si="3"/>
        <v>Yes</v>
      </c>
    </row>
    <row r="7" spans="1:8" ht="15">
      <c r="A7" s="6" t="s">
        <v>5</v>
      </c>
      <c r="B7" s="7">
        <f>VLOOKUP($A7,'Pivot Table'!$A$2:$C$7,3,0)</f>
        <v>15410</v>
      </c>
      <c r="C7" s="7">
        <f>VLOOKUP($A7,CategoryTargetsTable[],2,0)</f>
        <v>12000</v>
      </c>
      <c r="D7" s="7">
        <f t="shared" si="0"/>
        <v>-3410</v>
      </c>
      <c r="E7" s="8">
        <f t="shared" si="1"/>
        <v>28.416666666666668</v>
      </c>
      <c r="F7" s="6" t="str">
        <f t="shared" si="2"/>
        <v>Above Target</v>
      </c>
      <c r="G7" s="7">
        <v>15410</v>
      </c>
      <c r="H7" s="6" t="str">
        <f t="shared" si="3"/>
        <v>Yes</v>
      </c>
    </row>
    <row r="8" spans="1:8">
      <c r="A8" s="6"/>
      <c r="B8" s="6"/>
      <c r="C8" s="6"/>
      <c r="D8" s="6"/>
      <c r="E8" s="6"/>
      <c r="F8" s="6"/>
      <c r="G8" s="6"/>
      <c r="H8" s="6"/>
    </row>
  </sheetData>
  <conditionalFormatting sqref="F2:F7">
    <cfRule type="expression" dxfId="4" priority="1">
      <formula>F2="Above Target"</formula>
    </cfRule>
    <cfRule type="expression" dxfId="3" priority="2">
      <formula>F2="Below Target - Watch"</formula>
    </cfRule>
    <cfRule type="expression" dxfId="2" priority="3">
      <formula>F2="Below Target - Critical"</formula>
    </cfRule>
  </conditionalFormatting>
  <conditionalFormatting sqref="H2:H7">
    <cfRule type="expression" dxfId="1" priority="4">
      <formula>H2="Yes"</formula>
    </cfRule>
    <cfRule type="expression" dxfId="0" priority="5">
      <formula>H2="No"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Data</vt:lpstr>
      <vt:lpstr>Category Targets</vt:lpstr>
      <vt:lpstr>Pivot Table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Abhranil Kundu</cp:lastModifiedBy>
  <dcterms:modified xsi:type="dcterms:W3CDTF">2026-09-15T08:40:10Z</dcterms:modified>
</cp:coreProperties>
</file>